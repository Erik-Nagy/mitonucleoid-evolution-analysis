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it\mitonucleoid-evolution-analysis\data_anlysis\data\"/>
    </mc:Choice>
  </mc:AlternateContent>
  <xr:revisionPtr revIDLastSave="0" documentId="13_ncr:1_{6BE6D18B-694C-4E0F-82D5-DDE195DACAC5}" xr6:coauthVersionLast="47" xr6:coauthVersionMax="47" xr10:uidLastSave="{00000000-0000-0000-0000-000000000000}"/>
  <bookViews>
    <workbookView xWindow="-120" yWindow="-120" windowWidth="29040" windowHeight="15720" xr2:uid="{0D134D0D-6753-C449-B30A-03AFF9FB0DF6}"/>
  </bookViews>
  <sheets>
    <sheet name="mt-nucleoid P-si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" l="1"/>
</calcChain>
</file>

<file path=xl/sharedStrings.xml><?xml version="1.0" encoding="utf-8"?>
<sst xmlns="http://schemas.openxmlformats.org/spreadsheetml/2006/main" count="198" uniqueCount="198">
  <si>
    <t>Systematic gene name</t>
  </si>
  <si>
    <t>Standard gene name</t>
  </si>
  <si>
    <t>Uniprot ID</t>
  </si>
  <si>
    <t>Number of P-sites</t>
  </si>
  <si>
    <t>P-site positions</t>
  </si>
  <si>
    <t>Annotation</t>
  </si>
  <si>
    <t>YNL295W</t>
  </si>
  <si>
    <t>MRX6</t>
  </si>
  <si>
    <t>P48564</t>
  </si>
  <si>
    <t>Mitochondrial ribosome-associated protein; regulates mitochondrial DNA copy number and the size and distribution of mtDNA nucleoids; subunit of a complex containing Pet20p, Mam33p, and Pim1p that may regulate mtDNA replication; member of the PET20 domain-containing protein family; forms foci that partially co-localize with mtDNA</t>
  </si>
  <si>
    <t>YLR139C</t>
  </si>
  <si>
    <t>SLS1</t>
  </si>
  <si>
    <t>P42900</t>
  </si>
  <si>
    <t>87, 429</t>
  </si>
  <si>
    <t>Mitochondrial membrane protein; coordinates expression of mitochondrially-encoded genes; may facilitate delivery of mRNA to membrane-bound translation machinery</t>
  </si>
  <si>
    <t>YHL004W</t>
  </si>
  <si>
    <t>MRP4</t>
  </si>
  <si>
    <t>P32902</t>
  </si>
  <si>
    <r>
      <rPr>
        <sz val="12"/>
        <color rgb="FFFF0000"/>
        <rFont val="Aptos Narrow (Body)"/>
      </rPr>
      <t>62, 83,</t>
    </r>
    <r>
      <rPr>
        <sz val="12"/>
        <color theme="1"/>
        <rFont val="Aptos Narrow"/>
        <family val="2"/>
        <scheme val="minor"/>
      </rPr>
      <t xml:space="preserve"> 307</t>
    </r>
  </si>
  <si>
    <t>Mitochondrial ribosomal protein of the small subunit</t>
  </si>
  <si>
    <t>YGL068W</t>
  </si>
  <si>
    <t>MNP1</t>
  </si>
  <si>
    <t>P53163</t>
  </si>
  <si>
    <r>
      <t>10,11,</t>
    </r>
    <r>
      <rPr>
        <sz val="12"/>
        <color rgb="FFFF0000"/>
        <rFont val="Aptos Narrow (Body)"/>
      </rPr>
      <t>25</t>
    </r>
  </si>
  <si>
    <t>Mitochondrial ribosomal protein of the large subunit; has similarity to E. coli L7/L12 and human MRPL7 ribosomal proteins; associates with the mitochondrial nucleoid; required for normal respiratory growth</t>
  </si>
  <si>
    <t>YFL016C</t>
  </si>
  <si>
    <t>MDJ1</t>
  </si>
  <si>
    <t>P35191</t>
  </si>
  <si>
    <r>
      <t xml:space="preserve">38,191,300, </t>
    </r>
    <r>
      <rPr>
        <sz val="12"/>
        <color rgb="FFFF0000"/>
        <rFont val="Aptos Narrow (Body)"/>
      </rPr>
      <t>434</t>
    </r>
  </si>
  <si>
    <t>Co-chaperone that stimulates HSP70 protein Ssc1p ATPase activity; involved in protein folding/refolding in the mitochodrial matrix; required for proteolysis of misfolded proteins; member of the HSP40 (DnaJ) family of chaperones</t>
  </si>
  <si>
    <t>YNL252C</t>
  </si>
  <si>
    <t>MRPL17</t>
  </si>
  <si>
    <t>P36528</t>
  </si>
  <si>
    <r>
      <t>13,15,19,</t>
    </r>
    <r>
      <rPr>
        <sz val="12"/>
        <color rgb="FFFF0000"/>
        <rFont val="Aptos Narrow (Body)"/>
      </rPr>
      <t>120,</t>
    </r>
    <r>
      <rPr>
        <sz val="12"/>
        <color theme="1"/>
        <rFont val="Aptos Narrow"/>
        <family val="2"/>
        <scheme val="minor"/>
      </rPr>
      <t>163</t>
    </r>
  </si>
  <si>
    <t>Mitochondrial ribosomal protein of the large subunit</t>
  </si>
  <si>
    <t>YOR020C</t>
  </si>
  <si>
    <t>HSP10</t>
  </si>
  <si>
    <t>P38910</t>
  </si>
  <si>
    <t>10,29,31,81,82</t>
  </si>
  <si>
    <t>Mitochondrial matrix co-chaperonin; inhibits the ATPase activity of Hsp60p, a mitochondrial chaperonin; involved in protein folding and sorting in the mitochondria; 10 kD heat shock protein with similarity to E. coli groE</t>
  </si>
  <si>
    <t>YCL064C</t>
  </si>
  <si>
    <t>CHA1</t>
  </si>
  <si>
    <t>P25379</t>
  </si>
  <si>
    <r>
      <rPr>
        <sz val="12"/>
        <color rgb="FFFF0000"/>
        <rFont val="Aptos Narrow (Body)"/>
      </rPr>
      <t>33,93,165,</t>
    </r>
    <r>
      <rPr>
        <sz val="12"/>
        <color theme="1"/>
        <rFont val="Aptos Narrow"/>
        <family val="2"/>
        <scheme val="minor"/>
      </rPr>
      <t>169,257,</t>
    </r>
    <r>
      <rPr>
        <sz val="12"/>
        <color rgb="FFFF0000"/>
        <rFont val="Aptos Narrow (Body)"/>
      </rPr>
      <t>303</t>
    </r>
  </si>
  <si>
    <t>Catabolic L-serine (L-threonine) deaminase; catalyzes the degradation of both L-serine and L-threonine; required to use serine or threonine as the sole nitrogen source, transcriptionally induced by serine and threonine</t>
  </si>
  <si>
    <t>YDL078C</t>
  </si>
  <si>
    <t>MDH3</t>
  </si>
  <si>
    <t>P32419</t>
  </si>
  <si>
    <r>
      <t>10,46,</t>
    </r>
    <r>
      <rPr>
        <sz val="12"/>
        <color rgb="FFFF0000"/>
        <rFont val="Aptos Narrow (Body)"/>
      </rPr>
      <t>299,</t>
    </r>
    <r>
      <rPr>
        <sz val="12"/>
        <color theme="1"/>
        <rFont val="Aptos Narrow"/>
        <family val="2"/>
        <scheme val="minor"/>
      </rPr>
      <t>335,340,341</t>
    </r>
  </si>
  <si>
    <t>Peroxisomal malate dehydrogenase; catalyzes interconversion of malate and oxaloacetate; involved in the glyoxylate cycle; mutation in human homolog MDH2 causes early-onset severe encephalopathy</t>
  </si>
  <si>
    <t>YOR330C</t>
  </si>
  <si>
    <t>MIP1</t>
  </si>
  <si>
    <t>P15801</t>
  </si>
  <si>
    <r>
      <rPr>
        <sz val="12"/>
        <color rgb="FFFF0000"/>
        <rFont val="Aptos Narrow (Body)"/>
      </rPr>
      <t>652,654,</t>
    </r>
    <r>
      <rPr>
        <sz val="12"/>
        <color theme="1"/>
        <rFont val="Aptos Narrow"/>
        <family val="2"/>
        <scheme val="minor"/>
      </rPr>
      <t>791,795,836,</t>
    </r>
    <r>
      <rPr>
        <sz val="12"/>
        <color rgb="FFFF0000"/>
        <rFont val="Aptos Narrow (Body)"/>
      </rPr>
      <t>1113,1215</t>
    </r>
  </si>
  <si>
    <t>Mitochondrial DNA polymerase gamma; single subunit of mitochondrial DNA polymerase in yeast, in contrast to metazoan complex of catalytic and accessory subunits; polymorphic in yeast, petites occur more frequently in some lab strains; human ortholog POLG complements yeast mip1 mutant; mutations in human POLG associated with Alpers-Huttenlocher syndrome (AHS), progressive external ophthalmoplegia (PEO), parkinsonism, other mitochondrial diseases</t>
  </si>
  <si>
    <t>YMR241W</t>
  </si>
  <si>
    <t>YHM2</t>
  </si>
  <si>
    <t>Q04013</t>
  </si>
  <si>
    <r>
      <t>3,46,55,95,145,147,</t>
    </r>
    <r>
      <rPr>
        <sz val="12"/>
        <color rgb="FFFF0000"/>
        <rFont val="Aptos Narrow (Body)"/>
      </rPr>
      <t>207</t>
    </r>
  </si>
  <si>
    <t>Citrate and oxoglutarate carrier protein; exports citrate from and imports oxoglutarate into the mitochondrion, causing net export of NADPH reducing equivalents; also associates with mt nucleoids and has a role in replication and segregation of the mt genome</t>
  </si>
  <si>
    <t>YMR072W</t>
  </si>
  <si>
    <t>ABF2</t>
  </si>
  <si>
    <t>Q02486</t>
  </si>
  <si>
    <r>
      <t>59,</t>
    </r>
    <r>
      <rPr>
        <sz val="12"/>
        <color rgb="FFFF0000"/>
        <rFont val="Aptos Narrow (Body)"/>
      </rPr>
      <t>67</t>
    </r>
    <r>
      <rPr>
        <sz val="12"/>
        <color theme="1"/>
        <rFont val="Aptos Narrow"/>
        <family val="2"/>
        <scheme val="minor"/>
      </rPr>
      <t>,74,101,132,142,156,</t>
    </r>
    <r>
      <rPr>
        <sz val="12"/>
        <color rgb="FFFF0000"/>
        <rFont val="Aptos Narrow (Body)"/>
      </rPr>
      <t>160</t>
    </r>
  </si>
  <si>
    <t>Mitochondrial DNA-binding protein; involved in mitochondrial DNA replication and recombination, member of HMG1 DNA-binding protein family; activity may be regulated by protein kinase A phosphorylation; ABF2 has a paralog, IXR1, that arose from the whole genome duplication; human homolog TFAM can complement yeast abf2 mutant, rescuing the loss-of-mitochondrial DNA phenotype</t>
  </si>
  <si>
    <t>YML120C</t>
  </si>
  <si>
    <t>NDI1</t>
  </si>
  <si>
    <t>P32340</t>
  </si>
  <si>
    <r>
      <t>27,28,33,39,42,</t>
    </r>
    <r>
      <rPr>
        <sz val="12"/>
        <color rgb="FFFF0000"/>
        <rFont val="Aptos Narrow (Body)"/>
      </rPr>
      <t>77,83</t>
    </r>
    <r>
      <rPr>
        <sz val="12"/>
        <color rgb="FF000000"/>
        <rFont val="Aptos Narrow"/>
        <family val="2"/>
        <scheme val="minor"/>
      </rPr>
      <t>,239</t>
    </r>
  </si>
  <si>
    <t>NADH:ubiquinone oxidoreductase; transfers electrons from NADH to ubiquinone in respiratory chain but does not pump protons, in contrast to higher eukaryotic multisubunit respiratory complex I; upon apoptotic stress, is activated in mitochondria by N-terminal cleavage, then translocates to cytoplasm to induce apoptosis; homolog of human AIFM2; yeast NDI1 complements several phenotypes of human cell line with mutated MT-ND4, implicated in Leber hereditary optic neuropathy</t>
  </si>
  <si>
    <t>YBR221C</t>
  </si>
  <si>
    <t>PDB1</t>
  </si>
  <si>
    <t>P32473</t>
  </si>
  <si>
    <r>
      <t>140,</t>
    </r>
    <r>
      <rPr>
        <sz val="12"/>
        <color rgb="FFFF0000"/>
        <rFont val="Aptos Narrow (Body)"/>
      </rPr>
      <t>185</t>
    </r>
    <r>
      <rPr>
        <sz val="12"/>
        <color rgb="FF000000"/>
        <rFont val="Aptos Narrow"/>
        <family val="2"/>
        <scheme val="minor"/>
      </rPr>
      <t>,224,240,276,282,332,340,338,352</t>
    </r>
  </si>
  <si>
    <t>E1 beta subunit of the pyruvate dehydrogenase (PDH) complex; PDH is an evolutionarily conserved multi-protein complex found in mitochondria</t>
  </si>
  <si>
    <t>YFL018C</t>
  </si>
  <si>
    <t>LPD1</t>
  </si>
  <si>
    <t>P09624</t>
  </si>
  <si>
    <r>
      <t>6,</t>
    </r>
    <r>
      <rPr>
        <sz val="12"/>
        <color rgb="FFFF0000"/>
        <rFont val="Aptos Narrow (Body)"/>
      </rPr>
      <t>52,</t>
    </r>
    <r>
      <rPr>
        <sz val="12"/>
        <color theme="1"/>
        <rFont val="Aptos Narrow"/>
        <family val="2"/>
        <scheme val="minor"/>
      </rPr>
      <t>64,73,140,</t>
    </r>
    <r>
      <rPr>
        <sz val="12"/>
        <color rgb="FFFF0000"/>
        <rFont val="Aptos Narrow (Body)"/>
      </rPr>
      <t>158,176</t>
    </r>
    <r>
      <rPr>
        <sz val="12"/>
        <color theme="1"/>
        <rFont val="Aptos Narrow"/>
        <family val="2"/>
        <scheme val="minor"/>
      </rPr>
      <t>,199,336,348,418</t>
    </r>
  </si>
  <si>
    <t>Dihydrolipoamide dehydrogenase; the lipoamide dehydrogenase component (E3) of the pyruvate dehydrogenase and 2-oxoglutarate dehydrogenase multi-enzyme complexes; PDH complex is concentrated in spots within the mitochondrial matrix, often near the ERMES complex and near peroxisomes; LPD1 has a paralog, IRC15, that arose from the whole genome duplication</t>
  </si>
  <si>
    <t>YBL022C</t>
  </si>
  <si>
    <t>PIM1</t>
  </si>
  <si>
    <t>P36775</t>
  </si>
  <si>
    <r>
      <t>120,</t>
    </r>
    <r>
      <rPr>
        <sz val="12"/>
        <color rgb="FFFF0000"/>
        <rFont val="Aptos Narrow (Body)"/>
      </rPr>
      <t>142</t>
    </r>
    <r>
      <rPr>
        <sz val="12"/>
        <color rgb="FF000000"/>
        <rFont val="Aptos Narrow"/>
        <family val="2"/>
        <scheme val="minor"/>
      </rPr>
      <t>,300,657,787,842,846,849,850,860,902</t>
    </r>
  </si>
  <si>
    <t>ATP-dependent Lon protease; involved in degradation of misfolded mitochondrial proteins; required for mitochondrial maintenance and biogenesis; regulates mitochondrial DNA copy number with Mrx6p; subunit of a complex containing Mrx6p, Pet20p, and Mam33p that may regulate mtDNA replication; protease-independent, chaperone-like function in mitochondrial membrane complex assembly; localizes to the mitochondrial matrix</t>
  </si>
  <si>
    <t>YCL009C</t>
  </si>
  <si>
    <t>ILV6</t>
  </si>
  <si>
    <t>P25605</t>
  </si>
  <si>
    <r>
      <t>16,26,30,</t>
    </r>
    <r>
      <rPr>
        <sz val="12"/>
        <color rgb="FFFF0000"/>
        <rFont val="Aptos Narrow (Body)"/>
      </rPr>
      <t>92,95,97,107,113</t>
    </r>
    <r>
      <rPr>
        <sz val="12"/>
        <color theme="1"/>
        <rFont val="Aptos Narrow"/>
        <family val="2"/>
        <scheme val="minor"/>
      </rPr>
      <t>,212,256,273,281</t>
    </r>
  </si>
  <si>
    <t>Regulatory subunit of acetolactate synthase; acetolactate synthase catalyzes the first step of branched-chain amino acid biosynthesis; enhances activity of the Ilv2p catalytic subunit, localizes to mitochondria</t>
  </si>
  <si>
    <t>YDL066W</t>
  </si>
  <si>
    <t>IDP1</t>
  </si>
  <si>
    <t>P21954</t>
  </si>
  <si>
    <r>
      <rPr>
        <sz val="12"/>
        <color rgb="FFFF0000"/>
        <rFont val="Aptos Narrow (Body)"/>
      </rPr>
      <t>10,</t>
    </r>
    <r>
      <rPr>
        <sz val="12"/>
        <color theme="1"/>
        <rFont val="Aptos Narrow"/>
        <family val="2"/>
        <scheme val="minor"/>
      </rPr>
      <t>68,69,91,93,110,</t>
    </r>
    <r>
      <rPr>
        <sz val="12"/>
        <color rgb="FFFF0000"/>
        <rFont val="Aptos Narrow (Body)"/>
      </rPr>
      <t>114,</t>
    </r>
    <r>
      <rPr>
        <sz val="12"/>
        <color theme="1"/>
        <rFont val="Aptos Narrow"/>
        <family val="2"/>
        <scheme val="minor"/>
      </rPr>
      <t>200,202,205,</t>
    </r>
    <r>
      <rPr>
        <sz val="12"/>
        <color rgb="FFFF0000"/>
        <rFont val="Aptos Narrow (Body)"/>
      </rPr>
      <t>278,319</t>
    </r>
  </si>
  <si>
    <t>Mitochondrial NADP-specific isocitrate dehydrogenase; catalyzes the oxidation of isocitrate to alpha-ketoglutarate; not required for mitochondrial respiration and may function to divert alpha-ketoglutarate to biosynthetic processes</t>
  </si>
  <si>
    <t>YCR028C-A</t>
  </si>
  <si>
    <t>RIM1</t>
  </si>
  <si>
    <t>P32445</t>
  </si>
  <si>
    <r>
      <t>14,</t>
    </r>
    <r>
      <rPr>
        <sz val="12"/>
        <color rgb="FFFF0000"/>
        <rFont val="Aptos Narrow (Body)"/>
      </rPr>
      <t>23,</t>
    </r>
    <r>
      <rPr>
        <sz val="12"/>
        <color theme="1"/>
        <rFont val="Aptos Narrow"/>
        <family val="2"/>
        <scheme val="minor"/>
      </rPr>
      <t>30,</t>
    </r>
    <r>
      <rPr>
        <sz val="12"/>
        <color rgb="FFFF0000"/>
        <rFont val="Aptos Narrow (Body)"/>
      </rPr>
      <t>33,</t>
    </r>
    <r>
      <rPr>
        <sz val="12"/>
        <color theme="1"/>
        <rFont val="Aptos Narrow"/>
        <family val="2"/>
        <scheme val="minor"/>
      </rPr>
      <t>36,</t>
    </r>
    <r>
      <rPr>
        <sz val="12"/>
        <color rgb="FFFF0000"/>
        <rFont val="Aptos Narrow (Body)"/>
      </rPr>
      <t>37,</t>
    </r>
    <r>
      <rPr>
        <sz val="12"/>
        <color theme="1"/>
        <rFont val="Aptos Narrow"/>
        <family val="2"/>
        <scheme val="minor"/>
      </rPr>
      <t>47,50,105,107,133,134</t>
    </r>
  </si>
  <si>
    <t>ssDNA-binding protein essential for mitochondrial genome maintenance; involved in mitochondrial DNA replication; stimulates utilization by Mip1p DNA polymerase of RNA primers synthesized by Rpo41p</t>
  </si>
  <si>
    <t>YFL036W</t>
  </si>
  <si>
    <t>RPO41</t>
  </si>
  <si>
    <t>P13433</t>
  </si>
  <si>
    <r>
      <t>87,</t>
    </r>
    <r>
      <rPr>
        <sz val="12"/>
        <color rgb="FFFF0000"/>
        <rFont val="Aptos Narrow (Body)"/>
      </rPr>
      <t>270,292,</t>
    </r>
    <r>
      <rPr>
        <sz val="12"/>
        <color theme="1"/>
        <rFont val="Aptos Narrow"/>
        <family val="2"/>
        <scheme val="minor"/>
      </rPr>
      <t>301,302,304,496,499,501,521,</t>
    </r>
    <r>
      <rPr>
        <sz val="12"/>
        <color rgb="FFFF0000"/>
        <rFont val="Aptos Narrow (Body)"/>
      </rPr>
      <t>588</t>
    </r>
    <r>
      <rPr>
        <sz val="12"/>
        <color theme="1"/>
        <rFont val="Aptos Narrow"/>
        <family val="2"/>
        <scheme val="minor"/>
      </rPr>
      <t>,732,</t>
    </r>
    <r>
      <rPr>
        <sz val="12"/>
        <color rgb="FFFF0000"/>
        <rFont val="Aptos Narrow (Body)"/>
      </rPr>
      <t>1281</t>
    </r>
  </si>
  <si>
    <t>Mitochondrial RNA polymerase; single subunit enzyme similar to those of T3 and T7 bacteriophages; requires a specificity subunit encoded by MTF1 for promoter recognition; Mtf1p interacts with and stabilizes the Rpo41p-promoter complex, enhancing DNA bending and melting to facilitate pre-initiation open complex formation; Rpo41p also synthesizes RNA primers for mitochondrial DNA replication</t>
  </si>
  <si>
    <t>YNL037C</t>
  </si>
  <si>
    <t>IDH1</t>
  </si>
  <si>
    <t>P28834</t>
  </si>
  <si>
    <r>
      <t>13,103,143,148,</t>
    </r>
    <r>
      <rPr>
        <sz val="12"/>
        <color rgb="FFFF0000"/>
        <rFont val="Aptos Narrow (Body)"/>
      </rPr>
      <t>154</t>
    </r>
    <r>
      <rPr>
        <sz val="12"/>
        <color rgb="FF000000"/>
        <rFont val="Aptos Narrow"/>
        <family val="2"/>
        <scheme val="minor"/>
      </rPr>
      <t>,188,190,</t>
    </r>
    <r>
      <rPr>
        <sz val="12"/>
        <color rgb="FFFF0000"/>
        <rFont val="Aptos Narrow (Body)"/>
      </rPr>
      <t>210</t>
    </r>
    <r>
      <rPr>
        <sz val="12"/>
        <color rgb="FF000000"/>
        <rFont val="Aptos Narrow"/>
        <family val="2"/>
        <scheme val="minor"/>
      </rPr>
      <t>,248,</t>
    </r>
    <r>
      <rPr>
        <sz val="12"/>
        <color rgb="FFFF0000"/>
        <rFont val="Aptos Narrow (Body)"/>
      </rPr>
      <t>284</t>
    </r>
    <r>
      <rPr>
        <sz val="12"/>
        <color rgb="FF000000"/>
        <rFont val="Aptos Narrow"/>
        <family val="2"/>
        <scheme val="minor"/>
      </rPr>
      <t>,343,344,345</t>
    </r>
  </si>
  <si>
    <t>Subunit of mitochondrial NAD(+)-dependent isocitrate dehydrogenase; complex catalyzes the oxidation of isocitrate to alpha-ketoglutarate in the TCA cycle</t>
  </si>
  <si>
    <t>YJR144W</t>
  </si>
  <si>
    <t>MGM101</t>
  </si>
  <si>
    <t>P32787</t>
  </si>
  <si>
    <r>
      <t>26,29,40,</t>
    </r>
    <r>
      <rPr>
        <sz val="12"/>
        <color rgb="FFFF0000"/>
        <rFont val="Aptos Narrow (Body)"/>
      </rPr>
      <t>43</t>
    </r>
    <r>
      <rPr>
        <sz val="12"/>
        <color rgb="FF000000"/>
        <rFont val="Aptos Narrow"/>
        <family val="2"/>
        <scheme val="minor"/>
      </rPr>
      <t>,54,</t>
    </r>
    <r>
      <rPr>
        <sz val="12"/>
        <color rgb="FFFF0000"/>
        <rFont val="Aptos Narrow (Body)"/>
      </rPr>
      <t>66</t>
    </r>
    <r>
      <rPr>
        <sz val="12"/>
        <color rgb="FF000000"/>
        <rFont val="Aptos Narrow"/>
        <family val="2"/>
        <scheme val="minor"/>
      </rPr>
      <t>,71,</t>
    </r>
    <r>
      <rPr>
        <sz val="12"/>
        <color rgb="FFFF0000"/>
        <rFont val="Aptos Narrow (Body)"/>
      </rPr>
      <t>76</t>
    </r>
    <r>
      <rPr>
        <sz val="12"/>
        <color rgb="FF000000"/>
        <rFont val="Aptos Narrow"/>
        <family val="2"/>
        <scheme val="minor"/>
      </rPr>
      <t>,80,82,83,87,91,170</t>
    </r>
  </si>
  <si>
    <t>Protein with a role in mitochondrial DNA recombinational repair; also involved in interstrand cross-link repair; binds to and catalyzes the annealing of single-stranded mtDNA; oligomerizes to form rings and filaments; related to Rad52-type recombination proteins, with limited overall similarity but sharing conserved functionally important residues; component of the mitochondrial nucleoid, required for the repair of oxidative mtDNA damage and mitochondrial genome maintenance</t>
  </si>
  <si>
    <t>YER069W</t>
  </si>
  <si>
    <t>ARG5,6</t>
  </si>
  <si>
    <t>Q01217</t>
  </si>
  <si>
    <r>
      <t>3,70,95,279,</t>
    </r>
    <r>
      <rPr>
        <sz val="12"/>
        <color rgb="FFFF0000"/>
        <rFont val="Aptos Narrow (Body)"/>
      </rPr>
      <t>325</t>
    </r>
    <r>
      <rPr>
        <sz val="12"/>
        <color rgb="FF000000"/>
        <rFont val="Aptos Narrow"/>
        <family val="2"/>
        <scheme val="minor"/>
      </rPr>
      <t>,358,359,365,385,</t>
    </r>
    <r>
      <rPr>
        <sz val="12"/>
        <color rgb="FFFF0000"/>
        <rFont val="Aptos Narrow (Body)"/>
      </rPr>
      <t>416</t>
    </r>
    <r>
      <rPr>
        <sz val="12"/>
        <color rgb="FF000000"/>
        <rFont val="Aptos Narrow"/>
        <family val="2"/>
        <scheme val="minor"/>
      </rPr>
      <t>,512,513,529,530</t>
    </r>
  </si>
  <si>
    <t>Acetylglutamate kinase and N-acetyl-gamma-glutamyl-phosphate reductase; N-acetyl-L-glutamate kinase (NAGK) catalyzes the 2nd and N-acetyl-gamma-glutamyl-phosphate reductase (NAGSA), the 3rd step in arginine biosynthesis; synthesized as a precursor which is processed in the mitochondrion to yield mature NAGK and NAGSA; enzymes form a metabolon complex with Arg2p; NAGK C-terminal domain stabilizes the enzymes, slows catalysis and is involved in feed-back inhibition by arginine </t>
  </si>
  <si>
    <t>YPR191W</t>
  </si>
  <si>
    <t>QCR2</t>
  </si>
  <si>
    <t>P07257</t>
  </si>
  <si>
    <r>
      <rPr>
        <sz val="12"/>
        <color rgb="FFFF0000"/>
        <rFont val="Aptos Narrow (Body)"/>
      </rPr>
      <t>18</t>
    </r>
    <r>
      <rPr>
        <sz val="12"/>
        <color rgb="FF000000"/>
        <rFont val="Aptos Narrow"/>
        <family val="2"/>
        <scheme val="minor"/>
      </rPr>
      <t>,29,59,61,112,141,168,217,280,294,315,321,331,333,334</t>
    </r>
  </si>
  <si>
    <t>Subunit 2 of ubiquinol cytochrome-c reductase (Complex III); Complex III is a component of the mitochondrial inner membrane electron transport chain; phosphorylated; transcription is regulated by Hap1p, Hap2p/Hap3p, and heme</t>
  </si>
  <si>
    <t>YOR142W</t>
  </si>
  <si>
    <t>LSC1</t>
  </si>
  <si>
    <t>P53598</t>
  </si>
  <si>
    <t>Alpha subunit of succinyl-CoA ligase; succinyl-CoA ligase is a mitochondrial enzyme of the TCA cycle that catalyzes the nucleotide-dependent conversion of succinyl-CoA to succinate; phosphorylated</t>
  </si>
  <si>
    <t>YBL045C</t>
  </si>
  <si>
    <t>COR1</t>
  </si>
  <si>
    <t>P07256</t>
  </si>
  <si>
    <t>20,24,83,94,95,98,112,116,133,134,135,140,172,175,229,247,287</t>
  </si>
  <si>
    <t>Core subunit of the ubiquinol-cytochrome c reductase complex; the ubiquinol-cytochrome c reductase complex (bc1 complex) is a component of the mitochondrial inner membrane electron transport chain</t>
  </si>
  <si>
    <t>YJR121W</t>
  </si>
  <si>
    <t>ATP2</t>
  </si>
  <si>
    <t>P00830</t>
  </si>
  <si>
    <r>
      <t>27,28,35,39,40,43,112,117,124,</t>
    </r>
    <r>
      <rPr>
        <sz val="12"/>
        <color rgb="FFFF0000"/>
        <rFont val="Aptos Narrow (Body)"/>
      </rPr>
      <t>144</t>
    </r>
    <r>
      <rPr>
        <sz val="12"/>
        <color rgb="FF000000"/>
        <rFont val="Aptos Narrow"/>
        <family val="2"/>
        <scheme val="minor"/>
      </rPr>
      <t>,163,237,246,299,302,317,373,470</t>
    </r>
  </si>
  <si>
    <t>Beta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 </t>
  </si>
  <si>
    <t>YIL125W</t>
  </si>
  <si>
    <t>KGD1</t>
  </si>
  <si>
    <t>P20967</t>
  </si>
  <si>
    <r>
      <t>51,79,86,</t>
    </r>
    <r>
      <rPr>
        <sz val="12"/>
        <color rgb="FFFF0000"/>
        <rFont val="Aptos Narrow (Body)"/>
      </rPr>
      <t>151</t>
    </r>
    <r>
      <rPr>
        <sz val="12"/>
        <color theme="1"/>
        <rFont val="Aptos Narrow"/>
        <family val="2"/>
        <scheme val="minor"/>
      </rPr>
      <t>,313,</t>
    </r>
    <r>
      <rPr>
        <sz val="12"/>
        <color rgb="FFFF0000"/>
        <rFont val="Aptos Narrow (Body)"/>
      </rPr>
      <t>322</t>
    </r>
    <r>
      <rPr>
        <sz val="12"/>
        <color theme="1"/>
        <rFont val="Aptos Narrow"/>
        <family val="2"/>
        <scheme val="minor"/>
      </rPr>
      <t>,</t>
    </r>
    <r>
      <rPr>
        <sz val="12"/>
        <color rgb="FFFF0000"/>
        <rFont val="Aptos Narrow (Body)"/>
      </rPr>
      <t>325,331</t>
    </r>
    <r>
      <rPr>
        <sz val="12"/>
        <color theme="1"/>
        <rFont val="Aptos Narrow"/>
        <family val="2"/>
        <scheme val="minor"/>
      </rPr>
      <t>,452,453,457,</t>
    </r>
    <r>
      <rPr>
        <sz val="12"/>
        <color rgb="FFFF0000"/>
        <rFont val="Aptos Narrow (Body)"/>
      </rPr>
      <t>517</t>
    </r>
    <r>
      <rPr>
        <sz val="12"/>
        <color theme="1"/>
        <rFont val="Aptos Narrow"/>
        <family val="2"/>
        <scheme val="minor"/>
      </rPr>
      <t>,530,546,850,901,910,988,995,997</t>
    </r>
  </si>
  <si>
    <t>Subunit of the mitochondrial alpha-ketoglutarate dehydrogenase complex; catalyzes a key step in the tricarboxylic acid (TCA) cycle, the oxidative decarboxylation of alpha-ketoglutarate to form succinyl-CoA</t>
  </si>
  <si>
    <t>YER178W</t>
  </si>
  <si>
    <t>PDA1</t>
  </si>
  <si>
    <t>P16387</t>
  </si>
  <si>
    <r>
      <t>32,</t>
    </r>
    <r>
      <rPr>
        <sz val="12"/>
        <color rgb="FFFF0000"/>
        <rFont val="Aptos Narrow (Body)"/>
      </rPr>
      <t>50,102</t>
    </r>
    <r>
      <rPr>
        <sz val="12"/>
        <color rgb="FF000000"/>
        <rFont val="Aptos Narrow"/>
        <family val="2"/>
        <scheme val="minor"/>
      </rPr>
      <t>,133,137,166,</t>
    </r>
    <r>
      <rPr>
        <sz val="12"/>
        <color rgb="FFFF0000"/>
        <rFont val="Aptos Narrow (Body)"/>
      </rPr>
      <t>251</t>
    </r>
    <r>
      <rPr>
        <sz val="12"/>
        <color rgb="FF000000"/>
        <rFont val="Aptos Narrow"/>
        <family val="2"/>
        <scheme val="minor"/>
      </rPr>
      <t>,254,</t>
    </r>
    <r>
      <rPr>
        <sz val="12"/>
        <color rgb="FFFF0000"/>
        <rFont val="Aptos Narrow (Body)"/>
      </rPr>
      <t>256</t>
    </r>
    <r>
      <rPr>
        <sz val="12"/>
        <color rgb="FF000000"/>
        <rFont val="Aptos Narrow"/>
        <family val="2"/>
        <scheme val="minor"/>
      </rPr>
      <t>,309,311,313,315,319,320,321,332,361,395,397</t>
    </r>
  </si>
  <si>
    <t>E1 alpha subunit of the pyruvate dehydrogenase (PDH) complex; catalyzes the direct oxidative decarboxylation of pyruvate to acetyl-CoA; phosphorylated; regulated by glucose; PDH complex is concentrated in spots within the mitochondrial matrix, often near the ERMES complex and near peroxisomes</t>
  </si>
  <si>
    <t>YDR148C</t>
  </si>
  <si>
    <t>KGD2</t>
  </si>
  <si>
    <t>P19262</t>
  </si>
  <si>
    <r>
      <t>17,27,34,35,46,51,53,73,74,</t>
    </r>
    <r>
      <rPr>
        <sz val="12"/>
        <color rgb="FFFF0000"/>
        <rFont val="Aptos Narrow (Body)"/>
      </rPr>
      <t>121</t>
    </r>
    <r>
      <rPr>
        <sz val="12"/>
        <color rgb="FF000000"/>
        <rFont val="Aptos Narrow"/>
        <family val="2"/>
        <scheme val="minor"/>
      </rPr>
      <t>,180,181,186,203,214,</t>
    </r>
    <r>
      <rPr>
        <sz val="12"/>
        <color rgb="FFFF0000"/>
        <rFont val="Aptos Narrow (Body)"/>
      </rPr>
      <t>216</t>
    </r>
    <r>
      <rPr>
        <sz val="12"/>
        <color rgb="FF000000"/>
        <rFont val="Aptos Narrow"/>
        <family val="2"/>
        <scheme val="minor"/>
      </rPr>
      <t>,225,227,236,340,</t>
    </r>
    <r>
      <rPr>
        <sz val="12"/>
        <color rgb="FFFF0000"/>
        <rFont val="Aptos Narrow (Body)"/>
      </rPr>
      <t>449</t>
    </r>
  </si>
  <si>
    <t>Dihydrolipoyl transsuccinylase; component of the mitochondrial alpha-ketoglutarate dehydrogenase complex, which catalyzes the oxidative decarboxylation of alpha-ketoglutarate to succinyl-CoA in the TCA cycle; phosphorylated</t>
  </si>
  <si>
    <t>YBL099W</t>
  </si>
  <si>
    <t>ATP1</t>
  </si>
  <si>
    <t>P07251</t>
  </si>
  <si>
    <r>
      <rPr>
        <sz val="12"/>
        <color rgb="FFFF0000"/>
        <rFont val="Aptos Narrow (Body)"/>
      </rPr>
      <t>31</t>
    </r>
    <r>
      <rPr>
        <sz val="12"/>
        <color rgb="FF000000"/>
        <rFont val="Aptos Narrow"/>
        <family val="2"/>
        <scheme val="minor"/>
      </rPr>
      <t>,37,38,43,46,47,57,</t>
    </r>
    <r>
      <rPr>
        <sz val="12"/>
        <color rgb="FFFF0000"/>
        <rFont val="Aptos Narrow (Body)"/>
      </rPr>
      <t>115</t>
    </r>
    <r>
      <rPr>
        <sz val="12"/>
        <color rgb="FF000000"/>
        <rFont val="Aptos Narrow"/>
        <family val="2"/>
        <scheme val="minor"/>
      </rPr>
      <t>,178,213,230,233,256,309,340,350,413,445,511,527,533</t>
    </r>
  </si>
  <si>
    <t>Alpha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phosphorylated; N-terminally propionylated in viv</t>
  </si>
  <si>
    <t>YNL071W</t>
  </si>
  <si>
    <t>LAT1</t>
  </si>
  <si>
    <t>P12695</t>
  </si>
  <si>
    <r>
      <t>18,43,</t>
    </r>
    <r>
      <rPr>
        <sz val="12"/>
        <color rgb="FFFF0000"/>
        <rFont val="Aptos Narrow (Body)"/>
      </rPr>
      <t>63,73,75</t>
    </r>
    <r>
      <rPr>
        <sz val="12"/>
        <color rgb="FF000000"/>
        <rFont val="Aptos Narrow"/>
        <family val="2"/>
        <scheme val="minor"/>
      </rPr>
      <t>,97,</t>
    </r>
    <r>
      <rPr>
        <sz val="12"/>
        <color rgb="FFFF0000"/>
        <rFont val="Aptos Narrow (Body)"/>
      </rPr>
      <t>109</t>
    </r>
    <r>
      <rPr>
        <sz val="12"/>
        <color rgb="FF000000"/>
        <rFont val="Aptos Narrow"/>
        <family val="2"/>
        <scheme val="minor"/>
      </rPr>
      <t>,127,129,131,133,134,135,157,158,165,177,190,197,210,215,216,270,276,280,281,286,294,368</t>
    </r>
  </si>
  <si>
    <t>Dihydrolipoamide acetyltransferase component (E2) of the PDC; the pyruvate dehydrogenase complex (PDC) catalyzes the oxidative decarboxylation of pyruvate to acetyl-CoA</t>
  </si>
  <si>
    <t>YOR374W</t>
  </si>
  <si>
    <t>ALD4</t>
  </si>
  <si>
    <t>P46367</t>
  </si>
  <si>
    <r>
      <rPr>
        <sz val="12"/>
        <color rgb="FFFF0000"/>
        <rFont val="Aptos Narrow (Body)"/>
      </rPr>
      <t>5,</t>
    </r>
    <r>
      <rPr>
        <sz val="12"/>
        <color rgb="FF000000"/>
        <rFont val="Aptos Narrow"/>
        <family val="2"/>
        <scheme val="minor"/>
      </rPr>
      <t>14,25,96,99,139,154,155,172,175,177,211,216,219,220,223,226,228,267,269,270,272,348,350,360,367,368,398,500</t>
    </r>
  </si>
  <si>
    <t>Mitochondrial aldehyde dehydrogenase; required for growth on ethanol and conversion of acetaldehyde to acetate; phosphorylated; activity is K+ dependent; utilizes NADP+ or NAD+ equally as coenzymes; expression is glucose repressed; can substitute for cytosolic NADP-dependent aldehyde dehydrogenase when directed to the cytosol; human homolog ALDH2 can complement yeast ald4 mutant</t>
  </si>
  <si>
    <t>YLR304C</t>
  </si>
  <si>
    <t>ACO1</t>
  </si>
  <si>
    <t>P19414</t>
  </si>
  <si>
    <r>
      <t>18,20,37,83,87,174,202,254,231,238,239,</t>
    </r>
    <r>
      <rPr>
        <sz val="12"/>
        <color rgb="FFFF0000"/>
        <rFont val="Aptos Narrow (Body)"/>
      </rPr>
      <t>252,257</t>
    </r>
    <r>
      <rPr>
        <sz val="12"/>
        <color rgb="FF000000"/>
        <rFont val="Aptos Narrow"/>
        <family val="2"/>
        <scheme val="minor"/>
      </rPr>
      <t>,298,311,319,351,383,385,386,387,391,395,409,417,467,468,508,549,550,556,591,595,736,767</t>
    </r>
  </si>
  <si>
    <t>Aconitase; required for the tricarboxylic acid (TCA) cycle and also independently required for mitochondrial genome maintenance; component of the mitochondrial nucleoid; mutation leads to glutamate auxotrophy; human homolog ACO2 can complement yeast null mutant</t>
  </si>
  <si>
    <t>YLR259C</t>
  </si>
  <si>
    <t>HSP60</t>
  </si>
  <si>
    <t>P19882</t>
  </si>
  <si>
    <r>
      <rPr>
        <sz val="12"/>
        <color rgb="FFFF0000"/>
        <rFont val="Aptos Narrow (Body)"/>
      </rPr>
      <t>4,5,</t>
    </r>
    <r>
      <rPr>
        <sz val="12"/>
        <color rgb="FF000000"/>
        <rFont val="Aptos Narrow"/>
        <family val="2"/>
        <scheme val="minor"/>
      </rPr>
      <t>22,23,43,</t>
    </r>
    <r>
      <rPr>
        <sz val="12"/>
        <color rgb="FFFF0000"/>
        <rFont val="Aptos Narrow (Body)"/>
      </rPr>
      <t>80</t>
    </r>
    <r>
      <rPr>
        <sz val="12"/>
        <color rgb="FF000000"/>
        <rFont val="Aptos Narrow"/>
        <family val="2"/>
        <scheme val="minor"/>
      </rPr>
      <t>,100,102,122,124,141,153,177,185,197,203,231,232,249,250,351,357,373,377,378,379,381,382,395,407,439,470,485,495,506</t>
    </r>
  </si>
  <si>
    <t>Tetradecameric mitochondrial chaperonin; required for ATP-dependent folding of precursor polypeptides and complex assembly; prevents aggregation and mediates protein refolding after heat shock; role in mtDNA transmission; phosphorylated</t>
  </si>
  <si>
    <t>YLR355C</t>
  </si>
  <si>
    <t>ILV5</t>
  </si>
  <si>
    <t>P06168</t>
  </si>
  <si>
    <r>
      <rPr>
        <sz val="12"/>
        <color rgb="FFFF0000"/>
        <rFont val="Aptos Narrow (Body)"/>
      </rPr>
      <t>21,</t>
    </r>
    <r>
      <rPr>
        <sz val="12"/>
        <color rgb="FF000000"/>
        <rFont val="Aptos Narrow"/>
        <family val="2"/>
        <scheme val="minor"/>
      </rPr>
      <t>44,56,59,</t>
    </r>
    <r>
      <rPr>
        <sz val="12"/>
        <color rgb="FFFF0000"/>
        <rFont val="Aptos Narrow (Body)"/>
      </rPr>
      <t>74,75</t>
    </r>
    <r>
      <rPr>
        <sz val="12"/>
        <color rgb="FF000000"/>
        <rFont val="Aptos Narrow"/>
        <family val="2"/>
        <scheme val="minor"/>
      </rPr>
      <t>,85,87,113,</t>
    </r>
    <r>
      <rPr>
        <sz val="12"/>
        <color rgb="FFFF0000"/>
        <rFont val="Aptos Narrow (Body)"/>
      </rPr>
      <t>130</t>
    </r>
    <r>
      <rPr>
        <sz val="12"/>
        <color rgb="FF000000"/>
        <rFont val="Aptos Narrow"/>
        <family val="2"/>
        <scheme val="minor"/>
      </rPr>
      <t>,139,153,166,168,170,174,199,202,205,215,216,217,254,257,284,286,292,311,317,318,319,328,343,345,346,350,355,360,374</t>
    </r>
  </si>
  <si>
    <t>Acetohydroxyacid reductoisomerase and mtDNA binding protein; involved in branched-chain amino acid biosynthesis and maintenance of wild-type mitochondrial DNA; found in mitochondrial nucleoids</t>
  </si>
  <si>
    <t>YJR045C</t>
  </si>
  <si>
    <t>SSC1</t>
  </si>
  <si>
    <t>P0CS90</t>
  </si>
  <si>
    <t>11,12,14,15,16,21,31,61,63,64,66,71,97,125,138,137,139,169,177,201,269,311,319,330,332,353,354,355,367,378,385,440,450,457,458,481,516,528,572,594,617,623,624,636,649</t>
  </si>
  <si>
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</si>
  <si>
    <t>In red: Ignore; the sites listed in uniprot that are missing in the  https://compbio.fmph.uniba.sk/y-mtptm/</t>
  </si>
  <si>
    <t># of proteins</t>
  </si>
  <si>
    <t>In green: Mip1 and Rim1 are the MVP (most valuable proteins) for our projects</t>
  </si>
  <si>
    <t># of proteins containing at least one P-site (of all proteins)</t>
  </si>
  <si>
    <t>37 (100%)</t>
  </si>
  <si>
    <t># of P-sites</t>
  </si>
  <si>
    <t>Average # of P-sites per protein</t>
  </si>
  <si>
    <t>Median P-sites per protein</t>
  </si>
  <si>
    <t>21,27,45,184,186,188,198,216,256,257,260,285,292,294,298,313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</si>
</sst>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9" tint="-0.249977111117893"/>
      <name val="Aptos Narrow"/>
      <family val="2"/>
      <scheme val="minor"/>
    </font>
    <font>
      <sz val="10"/>
      <color theme="9" tint="-0.249977111117893"/>
      <name val="Helvetica Neue"/>
      <family val="2"/>
    </font>
    <font>
      <sz val="10"/>
      <color rgb="FF000000"/>
      <name val="Helvetica Neue"/>
      <family val="2"/>
    </font>
    <font>
      <sz val="12"/>
      <color rgb="FFFF0000"/>
      <name val="Aptos Narrow (Body)"/>
    </font>
    <font>
      <b/>
      <sz val="12"/>
      <color theme="9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right"/>
    </xf>
    <xf numFmtId="10" fontId="0" fillId="0" borderId="0" xfId="0" applyNumberFormat="1"/>
    <xf numFmtId="0" fontId="2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A9BC-DA21-FB43-8BA7-D0F1B5F5D9A3}">
  <dimension ref="A1:F46"/>
  <sheetViews>
    <sheetView tabSelected="1" workbookViewId="0">
      <pane ySplit="1" topLeftCell="A8" activePane="bottomLeft" state="frozen"/>
      <selection pane="bottomLeft" activeCell="E26" sqref="E26"/>
    </sheetView>
  </sheetViews>
  <sheetFormatPr defaultColWidth="11" defaultRowHeight="15.75"/>
  <cols>
    <col min="1" max="1" width="14.5" customWidth="1"/>
    <col min="4" max="4" width="13.625" customWidth="1"/>
    <col min="5" max="5" width="145.875" customWidth="1"/>
    <col min="6" max="6" width="28.5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</row>
    <row r="2" spans="1:6">
      <c r="A2" s="3" t="s">
        <v>6</v>
      </c>
      <c r="B2" t="s">
        <v>7</v>
      </c>
      <c r="C2" t="s">
        <v>8</v>
      </c>
      <c r="D2" s="3">
        <v>1</v>
      </c>
      <c r="E2" s="3">
        <v>96</v>
      </c>
      <c r="F2" t="s">
        <v>9</v>
      </c>
    </row>
    <row r="3" spans="1:6">
      <c r="A3" s="3" t="s">
        <v>10</v>
      </c>
      <c r="B3" t="s">
        <v>11</v>
      </c>
      <c r="C3" t="s">
        <v>12</v>
      </c>
      <c r="D3" s="3">
        <v>2</v>
      </c>
      <c r="E3" s="15" t="s">
        <v>13</v>
      </c>
      <c r="F3" t="s">
        <v>14</v>
      </c>
    </row>
    <row r="4" spans="1:6">
      <c r="A4" s="3" t="s">
        <v>15</v>
      </c>
      <c r="B4" t="s">
        <v>16</v>
      </c>
      <c r="C4" t="s">
        <v>17</v>
      </c>
      <c r="D4" s="3">
        <v>3</v>
      </c>
      <c r="E4" s="3" t="s">
        <v>18</v>
      </c>
      <c r="F4" t="s">
        <v>19</v>
      </c>
    </row>
    <row r="5" spans="1:6">
      <c r="A5" s="3" t="s">
        <v>20</v>
      </c>
      <c r="B5" t="s">
        <v>21</v>
      </c>
      <c r="C5" t="s">
        <v>22</v>
      </c>
      <c r="D5" s="3">
        <v>3</v>
      </c>
      <c r="E5" s="3" t="s">
        <v>23</v>
      </c>
      <c r="F5" t="s">
        <v>24</v>
      </c>
    </row>
    <row r="6" spans="1:6">
      <c r="A6" s="3" t="s">
        <v>25</v>
      </c>
      <c r="B6" t="s">
        <v>26</v>
      </c>
      <c r="C6" t="s">
        <v>27</v>
      </c>
      <c r="D6" s="3">
        <v>4</v>
      </c>
      <c r="E6" s="4" t="s">
        <v>28</v>
      </c>
      <c r="F6" s="3" t="s">
        <v>29</v>
      </c>
    </row>
    <row r="7" spans="1:6">
      <c r="A7" s="3" t="s">
        <v>30</v>
      </c>
      <c r="B7" t="s">
        <v>31</v>
      </c>
      <c r="C7" t="s">
        <v>32</v>
      </c>
      <c r="D7" s="3">
        <v>5</v>
      </c>
      <c r="E7" s="3" t="s">
        <v>33</v>
      </c>
      <c r="F7" t="s">
        <v>34</v>
      </c>
    </row>
    <row r="8" spans="1:6">
      <c r="A8" s="3" t="s">
        <v>35</v>
      </c>
      <c r="B8" t="s">
        <v>36</v>
      </c>
      <c r="C8" t="s">
        <v>37</v>
      </c>
      <c r="D8" s="3">
        <v>5</v>
      </c>
      <c r="E8" s="3" t="s">
        <v>38</v>
      </c>
      <c r="F8" t="s">
        <v>39</v>
      </c>
    </row>
    <row r="9" spans="1:6">
      <c r="A9" s="3" t="s">
        <v>40</v>
      </c>
      <c r="B9" t="s">
        <v>41</v>
      </c>
      <c r="C9" t="s">
        <v>42</v>
      </c>
      <c r="D9" s="3">
        <v>6</v>
      </c>
      <c r="E9" s="4" t="s">
        <v>43</v>
      </c>
      <c r="F9" t="s">
        <v>44</v>
      </c>
    </row>
    <row r="10" spans="1:6">
      <c r="A10" s="3" t="s">
        <v>45</v>
      </c>
      <c r="B10" t="s">
        <v>46</v>
      </c>
      <c r="C10" t="s">
        <v>47</v>
      </c>
      <c r="D10" s="3">
        <v>6</v>
      </c>
      <c r="E10" s="3" t="s">
        <v>48</v>
      </c>
      <c r="F10" t="s">
        <v>49</v>
      </c>
    </row>
    <row r="11" spans="1:6">
      <c r="A11" s="16" t="s">
        <v>50</v>
      </c>
      <c r="B11" s="17" t="s">
        <v>51</v>
      </c>
      <c r="C11" s="17" t="s">
        <v>52</v>
      </c>
      <c r="D11" s="3">
        <v>7</v>
      </c>
      <c r="E11" s="5" t="s">
        <v>53</v>
      </c>
      <c r="F11" s="17" t="s">
        <v>54</v>
      </c>
    </row>
    <row r="12" spans="1:6">
      <c r="A12" s="3" t="s">
        <v>55</v>
      </c>
      <c r="B12" t="s">
        <v>56</v>
      </c>
      <c r="C12" t="s">
        <v>57</v>
      </c>
      <c r="D12" s="3">
        <v>7</v>
      </c>
      <c r="E12" s="3" t="s">
        <v>58</v>
      </c>
      <c r="F12" t="s">
        <v>59</v>
      </c>
    </row>
    <row r="13" spans="1:6">
      <c r="A13" s="3" t="s">
        <v>60</v>
      </c>
      <c r="B13" t="s">
        <v>61</v>
      </c>
      <c r="C13" t="s">
        <v>62</v>
      </c>
      <c r="D13" s="3">
        <v>8</v>
      </c>
      <c r="E13" s="3" t="s">
        <v>63</v>
      </c>
      <c r="F13" t="s">
        <v>64</v>
      </c>
    </row>
    <row r="14" spans="1:6">
      <c r="A14" s="3" t="s">
        <v>65</v>
      </c>
      <c r="B14" t="s">
        <v>66</v>
      </c>
      <c r="C14" t="s">
        <v>67</v>
      </c>
      <c r="D14" s="6">
        <v>8</v>
      </c>
      <c r="E14" s="6" t="s">
        <v>68</v>
      </c>
      <c r="F14" t="s">
        <v>69</v>
      </c>
    </row>
    <row r="15" spans="1:6">
      <c r="A15" s="3" t="s">
        <v>70</v>
      </c>
      <c r="B15" t="s">
        <v>71</v>
      </c>
      <c r="C15" t="s">
        <v>72</v>
      </c>
      <c r="D15" s="3">
        <v>10</v>
      </c>
      <c r="E15" s="6" t="s">
        <v>73</v>
      </c>
      <c r="F15" t="s">
        <v>74</v>
      </c>
    </row>
    <row r="16" spans="1:6">
      <c r="A16" s="3" t="s">
        <v>75</v>
      </c>
      <c r="B16" t="s">
        <v>76</v>
      </c>
      <c r="C16" t="s">
        <v>77</v>
      </c>
      <c r="D16" s="3">
        <v>11</v>
      </c>
      <c r="E16" s="3" t="s">
        <v>78</v>
      </c>
      <c r="F16" t="s">
        <v>79</v>
      </c>
    </row>
    <row r="17" spans="1:6">
      <c r="A17" s="3" t="s">
        <v>80</v>
      </c>
      <c r="B17" t="s">
        <v>81</v>
      </c>
      <c r="C17" t="s">
        <v>82</v>
      </c>
      <c r="D17" s="6">
        <v>11</v>
      </c>
      <c r="E17" s="6" t="s">
        <v>83</v>
      </c>
      <c r="F17" t="s">
        <v>84</v>
      </c>
    </row>
    <row r="18" spans="1:6">
      <c r="A18" s="3" t="s">
        <v>85</v>
      </c>
      <c r="B18" t="s">
        <v>86</v>
      </c>
      <c r="C18" t="s">
        <v>87</v>
      </c>
      <c r="D18" s="3">
        <v>12</v>
      </c>
      <c r="E18" s="3" t="s">
        <v>88</v>
      </c>
      <c r="F18" t="s">
        <v>89</v>
      </c>
    </row>
    <row r="19" spans="1:6">
      <c r="A19" s="3" t="s">
        <v>90</v>
      </c>
      <c r="B19" t="s">
        <v>91</v>
      </c>
      <c r="C19" t="s">
        <v>92</v>
      </c>
      <c r="D19" s="3">
        <v>12</v>
      </c>
      <c r="E19" s="3" t="s">
        <v>93</v>
      </c>
      <c r="F19" t="s">
        <v>94</v>
      </c>
    </row>
    <row r="20" spans="1:6">
      <c r="A20" s="16" t="s">
        <v>95</v>
      </c>
      <c r="B20" s="17" t="s">
        <v>96</v>
      </c>
      <c r="C20" s="17" t="s">
        <v>97</v>
      </c>
      <c r="D20" s="3">
        <v>12</v>
      </c>
      <c r="E20" s="3" t="s">
        <v>98</v>
      </c>
      <c r="F20" s="17" t="s">
        <v>99</v>
      </c>
    </row>
    <row r="21" spans="1:6">
      <c r="A21" s="3" t="s">
        <v>100</v>
      </c>
      <c r="B21" t="s">
        <v>101</v>
      </c>
      <c r="C21" t="s">
        <v>102</v>
      </c>
      <c r="D21" s="3">
        <v>13</v>
      </c>
      <c r="E21" s="3" t="s">
        <v>103</v>
      </c>
      <c r="F21" t="s">
        <v>104</v>
      </c>
    </row>
    <row r="22" spans="1:6">
      <c r="A22" s="3" t="s">
        <v>105</v>
      </c>
      <c r="B22" t="s">
        <v>106</v>
      </c>
      <c r="C22" t="s">
        <v>107</v>
      </c>
      <c r="D22" s="3">
        <v>13</v>
      </c>
      <c r="E22" s="6" t="s">
        <v>108</v>
      </c>
      <c r="F22" t="s">
        <v>109</v>
      </c>
    </row>
    <row r="23" spans="1:6">
      <c r="A23" s="3" t="s">
        <v>110</v>
      </c>
      <c r="B23" t="s">
        <v>111</v>
      </c>
      <c r="C23" t="s">
        <v>112</v>
      </c>
      <c r="D23" s="6">
        <v>14</v>
      </c>
      <c r="E23" s="6" t="s">
        <v>113</v>
      </c>
      <c r="F23" t="s">
        <v>114</v>
      </c>
    </row>
    <row r="24" spans="1:6">
      <c r="A24" s="3" t="s">
        <v>115</v>
      </c>
      <c r="B24" t="s">
        <v>116</v>
      </c>
      <c r="C24" t="s">
        <v>117</v>
      </c>
      <c r="D24" s="3">
        <v>14</v>
      </c>
      <c r="E24" s="6" t="s">
        <v>118</v>
      </c>
      <c r="F24" t="s">
        <v>119</v>
      </c>
    </row>
    <row r="25" spans="1:6">
      <c r="A25" s="3" t="s">
        <v>120</v>
      </c>
      <c r="B25" t="s">
        <v>121</v>
      </c>
      <c r="C25" t="s">
        <v>122</v>
      </c>
      <c r="D25" s="6">
        <v>15</v>
      </c>
      <c r="E25" s="6" t="s">
        <v>123</v>
      </c>
      <c r="F25" t="s">
        <v>124</v>
      </c>
    </row>
    <row r="26" spans="1:6">
      <c r="A26" s="3" t="s">
        <v>125</v>
      </c>
      <c r="B26" t="s">
        <v>126</v>
      </c>
      <c r="C26" t="s">
        <v>127</v>
      </c>
      <c r="D26" s="3">
        <v>17</v>
      </c>
      <c r="E26" s="3" t="s">
        <v>197</v>
      </c>
      <c r="F26" t="s">
        <v>128</v>
      </c>
    </row>
    <row r="27" spans="1:6">
      <c r="A27" s="3" t="s">
        <v>129</v>
      </c>
      <c r="B27" t="s">
        <v>130</v>
      </c>
      <c r="C27" t="s">
        <v>131</v>
      </c>
      <c r="D27" s="3">
        <v>17</v>
      </c>
      <c r="E27" s="6" t="s">
        <v>132</v>
      </c>
      <c r="F27" t="s">
        <v>133</v>
      </c>
    </row>
    <row r="28" spans="1:6">
      <c r="A28" s="3" t="s">
        <v>134</v>
      </c>
      <c r="B28" t="s">
        <v>135</v>
      </c>
      <c r="C28" t="s">
        <v>136</v>
      </c>
      <c r="D28" s="6">
        <v>18</v>
      </c>
      <c r="E28" s="6" t="s">
        <v>137</v>
      </c>
      <c r="F28" t="s">
        <v>138</v>
      </c>
    </row>
    <row r="29" spans="1:6">
      <c r="A29" s="3" t="s">
        <v>139</v>
      </c>
      <c r="B29" t="s">
        <v>140</v>
      </c>
      <c r="C29" t="s">
        <v>141</v>
      </c>
      <c r="D29" s="3">
        <v>20</v>
      </c>
      <c r="E29" s="3" t="s">
        <v>142</v>
      </c>
      <c r="F29" t="s">
        <v>143</v>
      </c>
    </row>
    <row r="30" spans="1:6">
      <c r="A30" s="3" t="s">
        <v>144</v>
      </c>
      <c r="B30" t="s">
        <v>145</v>
      </c>
      <c r="C30" t="s">
        <v>146</v>
      </c>
      <c r="D30" s="3">
        <v>20</v>
      </c>
      <c r="E30" s="6" t="s">
        <v>147</v>
      </c>
      <c r="F30" t="s">
        <v>148</v>
      </c>
    </row>
    <row r="31" spans="1:6">
      <c r="A31" s="3" t="s">
        <v>149</v>
      </c>
      <c r="B31" t="s">
        <v>150</v>
      </c>
      <c r="C31" t="s">
        <v>151</v>
      </c>
      <c r="D31" s="3">
        <v>21</v>
      </c>
      <c r="E31" s="6" t="s">
        <v>152</v>
      </c>
      <c r="F31" t="s">
        <v>153</v>
      </c>
    </row>
    <row r="32" spans="1:6">
      <c r="A32" s="3" t="s">
        <v>154</v>
      </c>
      <c r="B32" t="s">
        <v>155</v>
      </c>
      <c r="C32" t="s">
        <v>156</v>
      </c>
      <c r="D32" s="6">
        <v>21</v>
      </c>
      <c r="E32" s="6" t="s">
        <v>157</v>
      </c>
      <c r="F32" t="s">
        <v>158</v>
      </c>
    </row>
    <row r="33" spans="1:6">
      <c r="A33" s="3" t="s">
        <v>159</v>
      </c>
      <c r="B33" t="s">
        <v>160</v>
      </c>
      <c r="C33" t="s">
        <v>161</v>
      </c>
      <c r="D33" s="6">
        <v>29</v>
      </c>
      <c r="E33" s="6" t="s">
        <v>162</v>
      </c>
      <c r="F33" t="s">
        <v>163</v>
      </c>
    </row>
    <row r="34" spans="1:6">
      <c r="A34" s="3" t="s">
        <v>164</v>
      </c>
      <c r="B34" t="s">
        <v>165</v>
      </c>
      <c r="C34" t="s">
        <v>166</v>
      </c>
      <c r="D34" s="6">
        <v>29</v>
      </c>
      <c r="E34" s="6" t="s">
        <v>167</v>
      </c>
      <c r="F34" t="s">
        <v>168</v>
      </c>
    </row>
    <row r="35" spans="1:6">
      <c r="A35" s="3" t="s">
        <v>169</v>
      </c>
      <c r="B35" t="s">
        <v>170</v>
      </c>
      <c r="C35" t="s">
        <v>171</v>
      </c>
      <c r="D35" s="6">
        <v>35</v>
      </c>
      <c r="E35" s="6" t="s">
        <v>172</v>
      </c>
      <c r="F35" t="s">
        <v>173</v>
      </c>
    </row>
    <row r="36" spans="1:6">
      <c r="A36" s="3" t="s">
        <v>174</v>
      </c>
      <c r="B36" t="s">
        <v>175</v>
      </c>
      <c r="C36" t="s">
        <v>176</v>
      </c>
      <c r="D36" s="6">
        <v>35</v>
      </c>
      <c r="E36" s="6" t="s">
        <v>177</v>
      </c>
      <c r="F36" t="s">
        <v>178</v>
      </c>
    </row>
    <row r="37" spans="1:6">
      <c r="A37" s="3" t="s">
        <v>179</v>
      </c>
      <c r="B37" t="s">
        <v>180</v>
      </c>
      <c r="C37" t="s">
        <v>181</v>
      </c>
      <c r="D37" s="6">
        <v>39</v>
      </c>
      <c r="E37" s="6" t="s">
        <v>182</v>
      </c>
      <c r="F37" t="s">
        <v>183</v>
      </c>
    </row>
    <row r="38" spans="1:6">
      <c r="A38" s="3" t="s">
        <v>184</v>
      </c>
      <c r="B38" t="s">
        <v>185</v>
      </c>
      <c r="C38" t="s">
        <v>186</v>
      </c>
      <c r="D38" s="6">
        <v>45</v>
      </c>
      <c r="E38" s="6" t="s">
        <v>187</v>
      </c>
      <c r="F38" t="s">
        <v>188</v>
      </c>
    </row>
    <row r="39" spans="1:6">
      <c r="A39" s="3"/>
      <c r="D39" s="3">
        <f>SUM(D2:D38)</f>
        <v>548</v>
      </c>
      <c r="E39" s="7"/>
      <c r="F39" s="8"/>
    </row>
    <row r="40" spans="1:6">
      <c r="A40" s="3"/>
      <c r="E40" s="9"/>
      <c r="F40" s="10"/>
    </row>
    <row r="41" spans="1:6">
      <c r="A41" s="11"/>
      <c r="D41" s="18" t="s">
        <v>189</v>
      </c>
      <c r="E41" s="9"/>
    </row>
    <row r="42" spans="1:6">
      <c r="A42" s="11" t="s">
        <v>190</v>
      </c>
      <c r="B42">
        <v>37</v>
      </c>
      <c r="D42" s="17" t="s">
        <v>191</v>
      </c>
      <c r="E42" s="17"/>
    </row>
    <row r="43" spans="1:6" ht="63">
      <c r="A43" s="11" t="s">
        <v>192</v>
      </c>
      <c r="B43" s="12" t="s">
        <v>193</v>
      </c>
      <c r="C43" s="12"/>
      <c r="D43" s="13"/>
    </row>
    <row r="44" spans="1:6">
      <c r="A44" s="11" t="s">
        <v>194</v>
      </c>
      <c r="B44" s="14">
        <v>548</v>
      </c>
      <c r="C44" s="14"/>
    </row>
    <row r="45" spans="1:6" ht="31.5">
      <c r="A45" s="11" t="s">
        <v>195</v>
      </c>
      <c r="B45">
        <v>14.81</v>
      </c>
      <c r="E45" s="9"/>
    </row>
    <row r="46" spans="1:6" ht="31.5">
      <c r="A46" s="11" t="s">
        <v>196</v>
      </c>
      <c r="B46">
        <v>12</v>
      </c>
      <c r="E46" s="9"/>
    </row>
  </sheetData>
  <sortState xmlns:xlrd2="http://schemas.microsoft.com/office/spreadsheetml/2017/richdata2" ref="A2:F39">
    <sortCondition ref="D2:D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mt-nucleoid P-sites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Tomáška Ľubomír</dc:creator>
  <cp:keywords/>
  <dc:description/>
  <cp:lastModifiedBy>erik erik</cp:lastModifiedBy>
  <cp:revision/>
  <dcterms:created xsi:type="dcterms:W3CDTF">2026-04-14T05:33:11Z</dcterms:created>
  <dcterms:modified xsi:type="dcterms:W3CDTF">2026-05-27T09:35:42Z</dcterms:modified>
  <cp:category/>
  <cp:contentStatus/>
</cp:coreProperties>
</file>